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5A50BB61-E7AC-4B81-84F1-076E3C33D7F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Monthly_Balances" sheetId="1" r:id="rId1"/>
    <sheet name="Dashboar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 a="1"/>
  <c r="B7" i="3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Q8" i="1" l="1"/>
  <c r="B6" i="3" a="1"/>
  <c r="B6" i="3" s="1"/>
  <c r="B5" i="3"/>
  <c r="B4" i="3"/>
  <c r="B3" i="3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<sst xmlns="http://schemas.openxmlformats.org/spreadsheetml/2006/main" count="24" uniqueCount="22">
  <si>
    <t>Period</t>
  </si>
  <si>
    <t>Income</t>
  </si>
  <si>
    <t>American Express</t>
  </si>
  <si>
    <t>Discover</t>
  </si>
  <si>
    <t>Capital one 1</t>
  </si>
  <si>
    <t>Capital one 2</t>
  </si>
  <si>
    <t>Barclay/Carnival</t>
  </si>
  <si>
    <t>Barclay/xbox</t>
  </si>
  <si>
    <t>US Bank</t>
  </si>
  <si>
    <t>Wells Fargo 1</t>
  </si>
  <si>
    <t>Wells Fargo 2</t>
  </si>
  <si>
    <t>Lowes</t>
  </si>
  <si>
    <t>Bestbuy</t>
  </si>
  <si>
    <t>Citi Card 1</t>
  </si>
  <si>
    <t>Citi Card 2</t>
  </si>
  <si>
    <t>Total Debt</t>
  </si>
  <si>
    <t>Debt-to-Income Ratio</t>
  </si>
  <si>
    <t>Personal Financial Dashboard</t>
  </si>
  <si>
    <t>Highest Balance</t>
  </si>
  <si>
    <t>Lowest Balance</t>
  </si>
  <si>
    <t>Average Debt</t>
  </si>
  <si>
    <t>Latest Month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</si>
</sst>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14" fontId="0" fillId="0" borderId="0" xfId="0" applyNumberFormat="1"/>
    <xf numFmtId="0" fontId="1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/>
    <xf numFmtId="10" fontId="0" fillId="0" borderId="0" xfId="0" applyNumberFormat="1"/>
    <xf numFmtId="10" fontId="2" fillId="2" borderId="1" xfId="0" applyNumberFormat="1" applyFont="1" applyFill="1" applyBorder="1" applyAlignment="1">
      <alignment horizontal="center"/>
    </xf>
    <xf numFmtId="17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">
    <dxf>
      <numFmt numFmtId="14" formatCode="0.00%"/>
    </dxf>
    <dxf>
      <numFmt numFmtId="0" formatCode="General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Monthly_Balances!$P$1</c:f>
              <c:strCache>
                <c:ptCount val="1"/>
                <c:pt idx="0">
                  <c:v>Total Debt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Monthly_Balances!$A$2:$A$37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 formatCode="m/d/yyyy">
                  <c:v>45717</c:v>
                </c:pt>
                <c:pt idx="15" formatCode="m/d/yyyy">
                  <c:v>45748</c:v>
                </c:pt>
                <c:pt idx="16" formatCode="m/d/yyyy">
                  <c:v>45778</c:v>
                </c:pt>
                <c:pt idx="17" formatCode="m/d/yyyy">
                  <c:v>45809</c:v>
                </c:pt>
                <c:pt idx="18" formatCode="m/d/yyyy">
                  <c:v>45839</c:v>
                </c:pt>
                <c:pt idx="19" formatCode="m/d/yyyy">
                  <c:v>45870</c:v>
                </c:pt>
                <c:pt idx="20" formatCode="m/d/yyyy">
                  <c:v>45901</c:v>
                </c:pt>
                <c:pt idx="21" formatCode="m/d/yyyy">
                  <c:v>45931</c:v>
                </c:pt>
                <c:pt idx="22" formatCode="m/d/yyyy">
                  <c:v>45962</c:v>
                </c:pt>
                <c:pt idx="23" formatCode="m/d/yyyy">
                  <c:v>45992</c:v>
                </c:pt>
                <c:pt idx="24" formatCode="m/d/yyyy">
                  <c:v>46023</c:v>
                </c:pt>
                <c:pt idx="25" formatCode="m/d/yyyy">
                  <c:v>46054</c:v>
                </c:pt>
                <c:pt idx="26" formatCode="m/d/yyyy">
                  <c:v>46082</c:v>
                </c:pt>
                <c:pt idx="27" formatCode="m/d/yyyy">
                  <c:v>46113</c:v>
                </c:pt>
                <c:pt idx="28" formatCode="m/d/yyyy">
                  <c:v>46143</c:v>
                </c:pt>
                <c:pt idx="29" formatCode="m/d/yyyy">
                  <c:v>46174</c:v>
                </c:pt>
                <c:pt idx="30" formatCode="m/d/yyyy">
                  <c:v>46204</c:v>
                </c:pt>
                <c:pt idx="31" formatCode="m/d/yyyy">
                  <c:v>46235</c:v>
                </c:pt>
                <c:pt idx="32" formatCode="m/d/yyyy">
                  <c:v>46266</c:v>
                </c:pt>
                <c:pt idx="33" formatCode="m/d/yyyy">
                  <c:v>46296</c:v>
                </c:pt>
                <c:pt idx="34" formatCode="m/d/yyyy">
                  <c:v>46327</c:v>
                </c:pt>
                <c:pt idx="35" formatCode="m/d/yyyy">
                  <c:v>46357</c:v>
                </c:pt>
              </c:numCache>
            </c:numRef>
          </c:cat>
          <c:val>
            <c:numRef>
              <c:f>Monthly_Balances!$P$2:$P$37</c:f>
              <c:numCache>
                <c:formatCode>General</c:formatCode>
                <c:ptCount val="36"/>
                <c:pt idx="0">
                  <c:v>10700</c:v>
                </c:pt>
                <c:pt idx="1">
                  <c:v>10500</c:v>
                </c:pt>
                <c:pt idx="2">
                  <c:v>10220</c:v>
                </c:pt>
                <c:pt idx="3">
                  <c:v>9880</c:v>
                </c:pt>
                <c:pt idx="4">
                  <c:v>9500</c:v>
                </c:pt>
                <c:pt idx="5">
                  <c:v>9150</c:v>
                </c:pt>
                <c:pt idx="6">
                  <c:v>8800</c:v>
                </c:pt>
                <c:pt idx="7">
                  <c:v>8450</c:v>
                </c:pt>
                <c:pt idx="8">
                  <c:v>8100</c:v>
                </c:pt>
                <c:pt idx="9">
                  <c:v>7700</c:v>
                </c:pt>
                <c:pt idx="10">
                  <c:v>7300</c:v>
                </c:pt>
                <c:pt idx="11">
                  <c:v>6950</c:v>
                </c:pt>
                <c:pt idx="12">
                  <c:v>6650</c:v>
                </c:pt>
                <c:pt idx="13">
                  <c:v>6320</c:v>
                </c:pt>
                <c:pt idx="14">
                  <c:v>6000</c:v>
                </c:pt>
                <c:pt idx="15">
                  <c:v>5600</c:v>
                </c:pt>
                <c:pt idx="16">
                  <c:v>5200</c:v>
                </c:pt>
                <c:pt idx="17">
                  <c:v>4830</c:v>
                </c:pt>
                <c:pt idx="18">
                  <c:v>4450</c:v>
                </c:pt>
                <c:pt idx="19">
                  <c:v>4080</c:v>
                </c:pt>
                <c:pt idx="20">
                  <c:v>3720</c:v>
                </c:pt>
                <c:pt idx="21">
                  <c:v>3400</c:v>
                </c:pt>
                <c:pt idx="22">
                  <c:v>3030</c:v>
                </c:pt>
                <c:pt idx="23">
                  <c:v>2660</c:v>
                </c:pt>
                <c:pt idx="24">
                  <c:v>2450</c:v>
                </c:pt>
                <c:pt idx="25">
                  <c:v>2190</c:v>
                </c:pt>
                <c:pt idx="26">
                  <c:v>1880</c:v>
                </c:pt>
                <c:pt idx="27">
                  <c:v>1620</c:v>
                </c:pt>
                <c:pt idx="28">
                  <c:v>1360</c:v>
                </c:pt>
                <c:pt idx="29">
                  <c:v>1120</c:v>
                </c:pt>
                <c:pt idx="30">
                  <c:v>950</c:v>
                </c:pt>
                <c:pt idx="31">
                  <c:v>780</c:v>
                </c:pt>
                <c:pt idx="32">
                  <c:v>610</c:v>
                </c:pt>
                <c:pt idx="33">
                  <c:v>440</c:v>
                </c:pt>
                <c:pt idx="34">
                  <c:v>270</c:v>
                </c:pt>
                <c:pt idx="3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A-4188-9C1C-8B4FCBC6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98408"/>
        <c:axId val="132200456"/>
      </c:lineChart>
      <c:dateAx>
        <c:axId val="132198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456"/>
        <c:crosses val="autoZero"/>
        <c:auto val="1"/>
        <c:lblOffset val="100"/>
        <c:baseTimeUnit val="months"/>
      </c:dateAx>
      <c:valAx>
        <c:axId val="13220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9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Debt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Monthly_Balances!$B$1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Monthly_Balances!$A$2:$A$37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 formatCode="m/d/yyyy">
                  <c:v>45717</c:v>
                </c:pt>
                <c:pt idx="15" formatCode="m/d/yyyy">
                  <c:v>45748</c:v>
                </c:pt>
                <c:pt idx="16" formatCode="m/d/yyyy">
                  <c:v>45778</c:v>
                </c:pt>
                <c:pt idx="17" formatCode="m/d/yyyy">
                  <c:v>45809</c:v>
                </c:pt>
                <c:pt idx="18" formatCode="m/d/yyyy">
                  <c:v>45839</c:v>
                </c:pt>
                <c:pt idx="19" formatCode="m/d/yyyy">
                  <c:v>45870</c:v>
                </c:pt>
                <c:pt idx="20" formatCode="m/d/yyyy">
                  <c:v>45901</c:v>
                </c:pt>
                <c:pt idx="21" formatCode="m/d/yyyy">
                  <c:v>45931</c:v>
                </c:pt>
                <c:pt idx="22" formatCode="m/d/yyyy">
                  <c:v>45962</c:v>
                </c:pt>
                <c:pt idx="23" formatCode="m/d/yyyy">
                  <c:v>45992</c:v>
                </c:pt>
                <c:pt idx="24" formatCode="m/d/yyyy">
                  <c:v>46023</c:v>
                </c:pt>
                <c:pt idx="25" formatCode="m/d/yyyy">
                  <c:v>46054</c:v>
                </c:pt>
                <c:pt idx="26" formatCode="m/d/yyyy">
                  <c:v>46082</c:v>
                </c:pt>
                <c:pt idx="27" formatCode="m/d/yyyy">
                  <c:v>46113</c:v>
                </c:pt>
                <c:pt idx="28" formatCode="m/d/yyyy">
                  <c:v>46143</c:v>
                </c:pt>
                <c:pt idx="29" formatCode="m/d/yyyy">
                  <c:v>46174</c:v>
                </c:pt>
                <c:pt idx="30" formatCode="m/d/yyyy">
                  <c:v>46204</c:v>
                </c:pt>
                <c:pt idx="31" formatCode="m/d/yyyy">
                  <c:v>46235</c:v>
                </c:pt>
                <c:pt idx="32" formatCode="m/d/yyyy">
                  <c:v>46266</c:v>
                </c:pt>
                <c:pt idx="33" formatCode="m/d/yyyy">
                  <c:v>46296</c:v>
                </c:pt>
                <c:pt idx="34" formatCode="m/d/yyyy">
                  <c:v>46327</c:v>
                </c:pt>
                <c:pt idx="35" formatCode="m/d/yyyy">
                  <c:v>46357</c:v>
                </c:pt>
              </c:numCache>
            </c:numRef>
          </c:cat>
          <c:val>
            <c:numRef>
              <c:f>Monthly_Balances!$B$2:$B$37</c:f>
              <c:numCache>
                <c:formatCode>General</c:formatCode>
                <c:ptCount val="36"/>
                <c:pt idx="0">
                  <c:v>3800</c:v>
                </c:pt>
                <c:pt idx="1">
                  <c:v>3800</c:v>
                </c:pt>
                <c:pt idx="2">
                  <c:v>3800</c:v>
                </c:pt>
                <c:pt idx="3">
                  <c:v>3900</c:v>
                </c:pt>
                <c:pt idx="4">
                  <c:v>3900</c:v>
                </c:pt>
                <c:pt idx="5">
                  <c:v>3900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4100</c:v>
                </c:pt>
                <c:pt idx="10">
                  <c:v>4100</c:v>
                </c:pt>
                <c:pt idx="11">
                  <c:v>4200</c:v>
                </c:pt>
                <c:pt idx="12">
                  <c:v>4200</c:v>
                </c:pt>
                <c:pt idx="13">
                  <c:v>4200</c:v>
                </c:pt>
                <c:pt idx="14">
                  <c:v>4200</c:v>
                </c:pt>
                <c:pt idx="15">
                  <c:v>4300</c:v>
                </c:pt>
                <c:pt idx="16">
                  <c:v>4300</c:v>
                </c:pt>
                <c:pt idx="17">
                  <c:v>4300</c:v>
                </c:pt>
                <c:pt idx="18">
                  <c:v>4400</c:v>
                </c:pt>
                <c:pt idx="19">
                  <c:v>4400</c:v>
                </c:pt>
                <c:pt idx="20">
                  <c:v>4400</c:v>
                </c:pt>
                <c:pt idx="21">
                  <c:v>4500</c:v>
                </c:pt>
                <c:pt idx="22">
                  <c:v>4500</c:v>
                </c:pt>
                <c:pt idx="23">
                  <c:v>4600</c:v>
                </c:pt>
                <c:pt idx="24">
                  <c:v>4600</c:v>
                </c:pt>
                <c:pt idx="25">
                  <c:v>4600</c:v>
                </c:pt>
                <c:pt idx="26">
                  <c:v>4700</c:v>
                </c:pt>
                <c:pt idx="27">
                  <c:v>4700</c:v>
                </c:pt>
                <c:pt idx="28">
                  <c:v>4700</c:v>
                </c:pt>
                <c:pt idx="29">
                  <c:v>4800</c:v>
                </c:pt>
                <c:pt idx="30">
                  <c:v>4800</c:v>
                </c:pt>
                <c:pt idx="31">
                  <c:v>4800</c:v>
                </c:pt>
                <c:pt idx="32">
                  <c:v>4900</c:v>
                </c:pt>
                <c:pt idx="33">
                  <c:v>4900</c:v>
                </c:pt>
                <c:pt idx="34">
                  <c:v>4900</c:v>
                </c:pt>
                <c:pt idx="35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E-465D-A50B-196ED59F8839}"/>
            </c:ext>
          </c:extLst>
        </c:ser>
        <c:ser>
          <c:idx val="1"/>
          <c:order val="1"/>
          <c:tx>
            <c:strRef>
              <c:f>Monthly_Balances!$P$1</c:f>
              <c:strCache>
                <c:ptCount val="1"/>
                <c:pt idx="0">
                  <c:v>Total Debt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Monthly_Balances!$A$2:$A$37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 formatCode="m/d/yyyy">
                  <c:v>45717</c:v>
                </c:pt>
                <c:pt idx="15" formatCode="m/d/yyyy">
                  <c:v>45748</c:v>
                </c:pt>
                <c:pt idx="16" formatCode="m/d/yyyy">
                  <c:v>45778</c:v>
                </c:pt>
                <c:pt idx="17" formatCode="m/d/yyyy">
                  <c:v>45809</c:v>
                </c:pt>
                <c:pt idx="18" formatCode="m/d/yyyy">
                  <c:v>45839</c:v>
                </c:pt>
                <c:pt idx="19" formatCode="m/d/yyyy">
                  <c:v>45870</c:v>
                </c:pt>
                <c:pt idx="20" formatCode="m/d/yyyy">
                  <c:v>45901</c:v>
                </c:pt>
                <c:pt idx="21" formatCode="m/d/yyyy">
                  <c:v>45931</c:v>
                </c:pt>
                <c:pt idx="22" formatCode="m/d/yyyy">
                  <c:v>45962</c:v>
                </c:pt>
                <c:pt idx="23" formatCode="m/d/yyyy">
                  <c:v>45992</c:v>
                </c:pt>
                <c:pt idx="24" formatCode="m/d/yyyy">
                  <c:v>46023</c:v>
                </c:pt>
                <c:pt idx="25" formatCode="m/d/yyyy">
                  <c:v>46054</c:v>
                </c:pt>
                <c:pt idx="26" formatCode="m/d/yyyy">
                  <c:v>46082</c:v>
                </c:pt>
                <c:pt idx="27" formatCode="m/d/yyyy">
                  <c:v>46113</c:v>
                </c:pt>
                <c:pt idx="28" formatCode="m/d/yyyy">
                  <c:v>46143</c:v>
                </c:pt>
                <c:pt idx="29" formatCode="m/d/yyyy">
                  <c:v>46174</c:v>
                </c:pt>
                <c:pt idx="30" formatCode="m/d/yyyy">
                  <c:v>46204</c:v>
                </c:pt>
                <c:pt idx="31" formatCode="m/d/yyyy">
                  <c:v>46235</c:v>
                </c:pt>
                <c:pt idx="32" formatCode="m/d/yyyy">
                  <c:v>46266</c:v>
                </c:pt>
                <c:pt idx="33" formatCode="m/d/yyyy">
                  <c:v>46296</c:v>
                </c:pt>
                <c:pt idx="34" formatCode="m/d/yyyy">
                  <c:v>46327</c:v>
                </c:pt>
                <c:pt idx="35" formatCode="m/d/yyyy">
                  <c:v>46357</c:v>
                </c:pt>
              </c:numCache>
            </c:numRef>
          </c:cat>
          <c:val>
            <c:numRef>
              <c:f>Monthly_Balances!$P$2:$P$37</c:f>
              <c:numCache>
                <c:formatCode>General</c:formatCode>
                <c:ptCount val="36"/>
                <c:pt idx="0">
                  <c:v>10700</c:v>
                </c:pt>
                <c:pt idx="1">
                  <c:v>10500</c:v>
                </c:pt>
                <c:pt idx="2">
                  <c:v>10220</c:v>
                </c:pt>
                <c:pt idx="3">
                  <c:v>9880</c:v>
                </c:pt>
                <c:pt idx="4">
                  <c:v>9500</c:v>
                </c:pt>
                <c:pt idx="5">
                  <c:v>9150</c:v>
                </c:pt>
                <c:pt idx="6">
                  <c:v>8800</c:v>
                </c:pt>
                <c:pt idx="7">
                  <c:v>8450</c:v>
                </c:pt>
                <c:pt idx="8">
                  <c:v>8100</c:v>
                </c:pt>
                <c:pt idx="9">
                  <c:v>7700</c:v>
                </c:pt>
                <c:pt idx="10">
                  <c:v>7300</c:v>
                </c:pt>
                <c:pt idx="11">
                  <c:v>6950</c:v>
                </c:pt>
                <c:pt idx="12">
                  <c:v>6650</c:v>
                </c:pt>
                <c:pt idx="13">
                  <c:v>6320</c:v>
                </c:pt>
                <c:pt idx="14">
                  <c:v>6000</c:v>
                </c:pt>
                <c:pt idx="15">
                  <c:v>5600</c:v>
                </c:pt>
                <c:pt idx="16">
                  <c:v>5200</c:v>
                </c:pt>
                <c:pt idx="17">
                  <c:v>4830</c:v>
                </c:pt>
                <c:pt idx="18">
                  <c:v>4450</c:v>
                </c:pt>
                <c:pt idx="19">
                  <c:v>4080</c:v>
                </c:pt>
                <c:pt idx="20">
                  <c:v>3720</c:v>
                </c:pt>
                <c:pt idx="21">
                  <c:v>3400</c:v>
                </c:pt>
                <c:pt idx="22">
                  <c:v>3030</c:v>
                </c:pt>
                <c:pt idx="23">
                  <c:v>2660</c:v>
                </c:pt>
                <c:pt idx="24">
                  <c:v>2450</c:v>
                </c:pt>
                <c:pt idx="25">
                  <c:v>2190</c:v>
                </c:pt>
                <c:pt idx="26">
                  <c:v>1880</c:v>
                </c:pt>
                <c:pt idx="27">
                  <c:v>1620</c:v>
                </c:pt>
                <c:pt idx="28">
                  <c:v>1360</c:v>
                </c:pt>
                <c:pt idx="29">
                  <c:v>1120</c:v>
                </c:pt>
                <c:pt idx="30">
                  <c:v>950</c:v>
                </c:pt>
                <c:pt idx="31">
                  <c:v>780</c:v>
                </c:pt>
                <c:pt idx="32">
                  <c:v>610</c:v>
                </c:pt>
                <c:pt idx="33">
                  <c:v>440</c:v>
                </c:pt>
                <c:pt idx="34">
                  <c:v>270</c:v>
                </c:pt>
                <c:pt idx="3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E-465D-A50B-196ED59F8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052167"/>
        <c:axId val="609054215"/>
      </c:lineChart>
      <c:dateAx>
        <c:axId val="6090521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54215"/>
        <c:crosses val="autoZero"/>
        <c:auto val="1"/>
        <c:lblOffset val="100"/>
        <c:baseTimeUnit val="months"/>
      </c:dateAx>
      <c:valAx>
        <c:axId val="609054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5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247650</xdr:rowOff>
    </xdr:from>
    <xdr:to>
      <xdr:col>28</xdr:col>
      <xdr:colOff>571500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5872E-2D01-49A0-ABFF-AB6575E21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28</xdr:col>
      <xdr:colOff>561975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05C59A-8281-4C17-AD81-6836D659E193}"/>
            </a:ext>
            <a:ext uri="{147F2762-F138-4A5C-976F-8EAC2B608ADB}">
              <a16:predDERef xmlns:a16="http://schemas.microsoft.com/office/drawing/2014/main" pred="{1D55872E-2D01-49A0-ABFF-AB6575E21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8F2BF-CAAC-460E-B531-A053C99CDE13}" name="Table1" displayName="Table1" ref="A1:Q37" totalsRowShown="0">
  <autoFilter ref="A1:Q37" xr:uid="{C698F2BF-CAAC-460E-B531-A053C99CDE13}"/>
  <tableColumns count="17">
    <tableColumn id="1" xr3:uid="{9085E43C-EF7D-4613-AFA3-12068020738B}" name="Period" dataDxfId="2"/>
    <tableColumn id="17" xr3:uid="{6952D308-75C4-4184-93DF-EFADBB96859F}" name="Income" dataDxfId="1"/>
    <tableColumn id="2" xr3:uid="{58743E70-CB56-4905-8722-416BCB4C4A52}" name="American Express"/>
    <tableColumn id="3" xr3:uid="{CD8789DA-1939-4CE6-9035-2569D450513E}" name="Discover"/>
    <tableColumn id="4" xr3:uid="{B7DA96B0-2F21-4567-B389-36CA8AC3DD18}" name="Capital one 1"/>
    <tableColumn id="5" xr3:uid="{51E1BEF4-8D13-4759-8969-577DD7CE57AD}" name="Capital one 2"/>
    <tableColumn id="6" xr3:uid="{98EA2A1F-407C-4C89-B67A-0076BC2355E4}" name="Barclay/Carnival"/>
    <tableColumn id="7" xr3:uid="{E4DD09B4-F69D-49A8-B9DD-F5814BB033D9}" name="Barclay/xbox"/>
    <tableColumn id="8" xr3:uid="{DB0734E9-A273-4A1B-B293-D4A8D64F644F}" name="US Bank"/>
    <tableColumn id="9" xr3:uid="{47D94BC9-F228-4571-AC23-C47EEF926736}" name="Wells Fargo 1"/>
    <tableColumn id="10" xr3:uid="{5EBA5A7C-D297-486E-BD74-A83B3AC6F8BC}" name="Wells Fargo 2"/>
    <tableColumn id="11" xr3:uid="{7563FE33-92B4-4F5D-8108-AE7868BBC926}" name="Lowes"/>
    <tableColumn id="12" xr3:uid="{8BF3AB20-8F6B-488C-91AD-18DA78E46682}" name="Bestbuy"/>
    <tableColumn id="13" xr3:uid="{D0C9340E-289C-4B7D-B3EC-E2A19C20A0DF}" name="Citi Card 1"/>
    <tableColumn id="14" xr3:uid="{4B79BBA3-DD00-43B1-9933-E721C8F3100C}" name="Citi Card 2"/>
    <tableColumn id="18" xr3:uid="{B3E51782-A064-4FFE-999F-7A3AA0FA20FC}" name="Total Debt">
      <calculatedColumnFormula>SUM(C2:O2)</calculatedColumnFormula>
    </tableColumn>
    <tableColumn id="15" xr3:uid="{E4D54126-8ECB-40F5-9250-4CBA101791F1}" name="Debt-to-Income Ratio" dataDxfId="0">
      <calculatedColumnFormula>Table1[[#This Row],[Total Debt]]/Table1[[#This Row],[Income]]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workbookViewId="0">
      <selection activeCell="V30" sqref="V30"/>
    </sheetView>
  </sheetViews>
  <sheetFormatPr defaultRowHeight="15"/>
  <cols>
    <col min="1" max="1" width="11.140625" bestFit="1" customWidth="1"/>
    <col min="2" max="2" width="18.85546875" style="6" bestFit="1" customWidth="1"/>
    <col min="3" max="3" width="10.7109375" bestFit="1" customWidth="1"/>
    <col min="4" max="5" width="14.7109375" bestFit="1" customWidth="1"/>
    <col min="6" max="6" width="17.85546875" bestFit="1" customWidth="1"/>
    <col min="7" max="7" width="14.85546875" bestFit="1" customWidth="1"/>
    <col min="8" max="8" width="10.42578125" bestFit="1" customWidth="1"/>
    <col min="9" max="10" width="15.140625" bestFit="1" customWidth="1"/>
    <col min="12" max="12" width="10.28515625" bestFit="1" customWidth="1"/>
    <col min="13" max="14" width="12.28515625" bestFit="1" customWidth="1"/>
    <col min="15" max="15" width="12.42578125" bestFit="1" customWidth="1"/>
    <col min="16" max="16" width="12.42578125" customWidth="1"/>
    <col min="17" max="17" width="22.42578125" style="8" bestFit="1" customWidth="1"/>
  </cols>
  <sheetData>
    <row r="1" spans="1:17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s="8" t="s">
        <v>16</v>
      </c>
    </row>
    <row r="2" spans="1:17">
      <c r="A2" s="10">
        <v>45292</v>
      </c>
      <c r="B2">
        <v>3800</v>
      </c>
      <c r="C2">
        <v>4200</v>
      </c>
      <c r="D2">
        <v>2500</v>
      </c>
      <c r="E2">
        <v>3100</v>
      </c>
      <c r="F2">
        <v>900</v>
      </c>
      <c r="P2">
        <f>SUM(C2:O2)</f>
        <v>10700</v>
      </c>
      <c r="Q2" s="8">
        <f>Table1[[#This Row],[Total Debt]]/Table1[[#This Row],[Income]]</f>
        <v>2.8157894736842106</v>
      </c>
    </row>
    <row r="3" spans="1:17">
      <c r="A3" s="10">
        <v>45323</v>
      </c>
      <c r="B3">
        <v>3800</v>
      </c>
      <c r="C3">
        <v>4150</v>
      </c>
      <c r="D3">
        <v>2450</v>
      </c>
      <c r="E3">
        <v>3050</v>
      </c>
      <c r="F3">
        <v>850</v>
      </c>
      <c r="P3">
        <f>SUM(C3:O3)</f>
        <v>10500</v>
      </c>
      <c r="Q3" s="8">
        <f>Table1[[#This Row],[Total Debt]]/Table1[[#This Row],[Income]]</f>
        <v>2.763157894736842</v>
      </c>
    </row>
    <row r="4" spans="1:17">
      <c r="A4" s="10">
        <v>45352</v>
      </c>
      <c r="B4">
        <v>3800</v>
      </c>
      <c r="C4">
        <v>4050</v>
      </c>
      <c r="D4">
        <v>2400</v>
      </c>
      <c r="E4">
        <v>2950</v>
      </c>
      <c r="F4">
        <v>820</v>
      </c>
      <c r="P4">
        <f>SUM(C4:O4)</f>
        <v>10220</v>
      </c>
      <c r="Q4" s="8">
        <f>Table1[[#This Row],[Total Debt]]/Table1[[#This Row],[Income]]</f>
        <v>2.6894736842105265</v>
      </c>
    </row>
    <row r="5" spans="1:17">
      <c r="A5" s="10">
        <v>45383</v>
      </c>
      <c r="B5">
        <v>3900</v>
      </c>
      <c r="C5">
        <v>3950</v>
      </c>
      <c r="D5">
        <v>2300</v>
      </c>
      <c r="E5">
        <v>2850</v>
      </c>
      <c r="F5">
        <v>780</v>
      </c>
      <c r="P5">
        <f>SUM(C5:O5)</f>
        <v>9880</v>
      </c>
      <c r="Q5" s="8">
        <f>Table1[[#This Row],[Total Debt]]/Table1[[#This Row],[Income]]</f>
        <v>2.5333333333333332</v>
      </c>
    </row>
    <row r="6" spans="1:17">
      <c r="A6" s="10">
        <v>45413</v>
      </c>
      <c r="B6">
        <v>3900</v>
      </c>
      <c r="C6">
        <v>3800</v>
      </c>
      <c r="D6">
        <v>2200</v>
      </c>
      <c r="E6">
        <v>2750</v>
      </c>
      <c r="F6">
        <v>750</v>
      </c>
      <c r="P6">
        <f>SUM(C6:O6)</f>
        <v>9500</v>
      </c>
      <c r="Q6" s="8">
        <f>Table1[[#This Row],[Total Debt]]/Table1[[#This Row],[Income]]</f>
        <v>2.4358974358974357</v>
      </c>
    </row>
    <row r="7" spans="1:17">
      <c r="A7" s="10">
        <v>45444</v>
      </c>
      <c r="B7">
        <v>3900</v>
      </c>
      <c r="C7">
        <v>3700</v>
      </c>
      <c r="D7">
        <v>2100</v>
      </c>
      <c r="E7">
        <v>2650</v>
      </c>
      <c r="F7">
        <v>700</v>
      </c>
      <c r="P7">
        <f>SUM(C7:O7)</f>
        <v>9150</v>
      </c>
      <c r="Q7" s="8">
        <f>Table1[[#This Row],[Total Debt]]/Table1[[#This Row],[Income]]</f>
        <v>2.3461538461538463</v>
      </c>
    </row>
    <row r="8" spans="1:17">
      <c r="A8" s="10">
        <v>45474</v>
      </c>
      <c r="B8">
        <v>4000</v>
      </c>
      <c r="C8">
        <v>3600</v>
      </c>
      <c r="D8">
        <v>2000</v>
      </c>
      <c r="E8">
        <v>2550</v>
      </c>
      <c r="F8">
        <v>650</v>
      </c>
      <c r="P8">
        <f>SUM(C8:O8)</f>
        <v>8800</v>
      </c>
      <c r="Q8" s="8">
        <f>Table1[[#This Row],[Total Debt]]/Table1[[#This Row],[Income]]</f>
        <v>2.2000000000000002</v>
      </c>
    </row>
    <row r="9" spans="1:17">
      <c r="A9" s="10">
        <v>45505</v>
      </c>
      <c r="B9">
        <v>4000</v>
      </c>
      <c r="C9">
        <v>3500</v>
      </c>
      <c r="D9">
        <v>1900</v>
      </c>
      <c r="E9">
        <v>2450</v>
      </c>
      <c r="F9">
        <v>600</v>
      </c>
      <c r="P9">
        <f>SUM(C9:O9)</f>
        <v>8450</v>
      </c>
      <c r="Q9" s="8">
        <f>Table1[[#This Row],[Total Debt]]/Table1[[#This Row],[Income]]</f>
        <v>2.1124999999999998</v>
      </c>
    </row>
    <row r="10" spans="1:17">
      <c r="A10" s="10">
        <v>45536</v>
      </c>
      <c r="B10">
        <v>4000</v>
      </c>
      <c r="C10">
        <v>3400</v>
      </c>
      <c r="D10">
        <v>1800</v>
      </c>
      <c r="E10">
        <v>2350</v>
      </c>
      <c r="F10">
        <v>550</v>
      </c>
      <c r="P10">
        <f>SUM(C10:O10)</f>
        <v>8100</v>
      </c>
      <c r="Q10" s="8">
        <f>Table1[[#This Row],[Total Debt]]/Table1[[#This Row],[Income]]</f>
        <v>2.0249999999999999</v>
      </c>
    </row>
    <row r="11" spans="1:17">
      <c r="A11" s="10">
        <v>45566</v>
      </c>
      <c r="B11">
        <v>4100</v>
      </c>
      <c r="C11">
        <v>3250</v>
      </c>
      <c r="D11">
        <v>1700</v>
      </c>
      <c r="E11">
        <v>2250</v>
      </c>
      <c r="F11">
        <v>500</v>
      </c>
      <c r="P11">
        <f>SUM(C11:O11)</f>
        <v>7700</v>
      </c>
      <c r="Q11" s="8">
        <f>Table1[[#This Row],[Total Debt]]/Table1[[#This Row],[Income]]</f>
        <v>1.8780487804878048</v>
      </c>
    </row>
    <row r="12" spans="1:17">
      <c r="A12" s="10">
        <v>45597</v>
      </c>
      <c r="B12">
        <v>4100</v>
      </c>
      <c r="C12">
        <v>3100</v>
      </c>
      <c r="D12">
        <v>1600</v>
      </c>
      <c r="E12">
        <v>2150</v>
      </c>
      <c r="F12">
        <v>450</v>
      </c>
      <c r="P12">
        <f>SUM(C12:O12)</f>
        <v>7300</v>
      </c>
      <c r="Q12" s="8">
        <f>Table1[[#This Row],[Total Debt]]/Table1[[#This Row],[Income]]</f>
        <v>1.7804878048780488</v>
      </c>
    </row>
    <row r="13" spans="1:17">
      <c r="A13" s="10">
        <v>45627</v>
      </c>
      <c r="B13">
        <v>4200</v>
      </c>
      <c r="C13">
        <v>3000</v>
      </c>
      <c r="D13">
        <v>1500</v>
      </c>
      <c r="E13">
        <v>2050</v>
      </c>
      <c r="F13">
        <v>400</v>
      </c>
      <c r="P13">
        <f>SUM(C13:O13)</f>
        <v>6950</v>
      </c>
      <c r="Q13" s="8">
        <f>Table1[[#This Row],[Total Debt]]/Table1[[#This Row],[Income]]</f>
        <v>1.6547619047619047</v>
      </c>
    </row>
    <row r="14" spans="1:17">
      <c r="A14" s="10">
        <v>45658</v>
      </c>
      <c r="B14">
        <v>4200</v>
      </c>
      <c r="C14">
        <v>2900</v>
      </c>
      <c r="D14">
        <v>1450</v>
      </c>
      <c r="E14">
        <v>1950</v>
      </c>
      <c r="F14">
        <v>350</v>
      </c>
      <c r="P14">
        <f>SUM(C14:O14)</f>
        <v>6650</v>
      </c>
      <c r="Q14" s="8">
        <f>Table1[[#This Row],[Total Debt]]/Table1[[#This Row],[Income]]</f>
        <v>1.5833333333333333</v>
      </c>
    </row>
    <row r="15" spans="1:17">
      <c r="A15" s="10">
        <v>45689</v>
      </c>
      <c r="B15">
        <v>4200</v>
      </c>
      <c r="C15">
        <v>2800</v>
      </c>
      <c r="D15">
        <v>1350</v>
      </c>
      <c r="E15">
        <v>1850</v>
      </c>
      <c r="F15">
        <v>320</v>
      </c>
      <c r="P15">
        <f>SUM(C15:O15)</f>
        <v>6320</v>
      </c>
      <c r="Q15" s="8">
        <f>Table1[[#This Row],[Total Debt]]/Table1[[#This Row],[Income]]</f>
        <v>1.5047619047619047</v>
      </c>
    </row>
    <row r="16" spans="1:17">
      <c r="A16" s="2">
        <v>45717</v>
      </c>
      <c r="B16" s="6">
        <v>4200</v>
      </c>
      <c r="C16">
        <v>2700</v>
      </c>
      <c r="D16">
        <v>1250</v>
      </c>
      <c r="E16">
        <v>1750</v>
      </c>
      <c r="F16">
        <v>300</v>
      </c>
      <c r="P16">
        <f t="shared" ref="P16:P25" si="0">SUM(C16:O16)</f>
        <v>6000</v>
      </c>
      <c r="Q16" s="8">
        <f>Table1[[#This Row],[Total Debt]]/Table1[[#This Row],[Income]]</f>
        <v>1.4285714285714286</v>
      </c>
    </row>
    <row r="17" spans="1:17">
      <c r="A17" s="2">
        <v>45748</v>
      </c>
      <c r="B17" s="6">
        <v>4300</v>
      </c>
      <c r="C17">
        <v>2550</v>
      </c>
      <c r="D17">
        <v>1150</v>
      </c>
      <c r="E17">
        <v>1650</v>
      </c>
      <c r="F17">
        <v>250</v>
      </c>
      <c r="P17">
        <f t="shared" si="0"/>
        <v>5600</v>
      </c>
      <c r="Q17" s="8">
        <f>Table1[[#This Row],[Total Debt]]/Table1[[#This Row],[Income]]</f>
        <v>1.3023255813953489</v>
      </c>
    </row>
    <row r="18" spans="1:17">
      <c r="A18" s="2">
        <v>45778</v>
      </c>
      <c r="B18" s="6">
        <v>4300</v>
      </c>
      <c r="C18">
        <v>2400</v>
      </c>
      <c r="D18">
        <v>1050</v>
      </c>
      <c r="E18">
        <v>1550</v>
      </c>
      <c r="F18">
        <v>200</v>
      </c>
      <c r="P18">
        <f t="shared" si="0"/>
        <v>5200</v>
      </c>
      <c r="Q18" s="8">
        <f>Table1[[#This Row],[Total Debt]]/Table1[[#This Row],[Income]]</f>
        <v>1.2093023255813953</v>
      </c>
    </row>
    <row r="19" spans="1:17">
      <c r="A19" s="2">
        <v>45809</v>
      </c>
      <c r="B19" s="6">
        <v>4300</v>
      </c>
      <c r="C19">
        <v>2250</v>
      </c>
      <c r="D19">
        <v>950</v>
      </c>
      <c r="E19">
        <v>1450</v>
      </c>
      <c r="F19">
        <v>180</v>
      </c>
      <c r="P19">
        <f t="shared" si="0"/>
        <v>4830</v>
      </c>
      <c r="Q19" s="8">
        <f>Table1[[#This Row],[Total Debt]]/Table1[[#This Row],[Income]]</f>
        <v>1.1232558139534883</v>
      </c>
    </row>
    <row r="20" spans="1:17">
      <c r="A20" s="2">
        <v>45839</v>
      </c>
      <c r="B20" s="6">
        <v>4400</v>
      </c>
      <c r="C20">
        <v>2100</v>
      </c>
      <c r="D20">
        <v>850</v>
      </c>
      <c r="E20">
        <v>1350</v>
      </c>
      <c r="F20">
        <v>150</v>
      </c>
      <c r="P20">
        <f t="shared" si="0"/>
        <v>4450</v>
      </c>
      <c r="Q20" s="8">
        <f>Table1[[#This Row],[Total Debt]]/Table1[[#This Row],[Income]]</f>
        <v>1.0113636363636365</v>
      </c>
    </row>
    <row r="21" spans="1:17">
      <c r="A21" s="2">
        <v>45870</v>
      </c>
      <c r="B21" s="6">
        <v>4400</v>
      </c>
      <c r="C21">
        <v>1950</v>
      </c>
      <c r="D21">
        <v>750</v>
      </c>
      <c r="E21">
        <v>1250</v>
      </c>
      <c r="F21">
        <v>130</v>
      </c>
      <c r="P21">
        <f t="shared" si="0"/>
        <v>4080</v>
      </c>
      <c r="Q21" s="8">
        <f>Table1[[#This Row],[Total Debt]]/Table1[[#This Row],[Income]]</f>
        <v>0.92727272727272725</v>
      </c>
    </row>
    <row r="22" spans="1:17">
      <c r="A22" s="2">
        <v>45901</v>
      </c>
      <c r="B22" s="6">
        <v>4400</v>
      </c>
      <c r="C22">
        <v>1800</v>
      </c>
      <c r="D22">
        <v>650</v>
      </c>
      <c r="E22">
        <v>1150</v>
      </c>
      <c r="F22">
        <v>120</v>
      </c>
      <c r="P22">
        <f t="shared" si="0"/>
        <v>3720</v>
      </c>
      <c r="Q22" s="8">
        <f>Table1[[#This Row],[Total Debt]]/Table1[[#This Row],[Income]]</f>
        <v>0.84545454545454546</v>
      </c>
    </row>
    <row r="23" spans="1:17">
      <c r="A23" s="2">
        <v>45931</v>
      </c>
      <c r="B23" s="6">
        <v>4500</v>
      </c>
      <c r="C23">
        <v>1650</v>
      </c>
      <c r="D23">
        <v>600</v>
      </c>
      <c r="E23">
        <v>1050</v>
      </c>
      <c r="F23">
        <v>100</v>
      </c>
      <c r="P23">
        <f t="shared" si="0"/>
        <v>3400</v>
      </c>
      <c r="Q23" s="8">
        <f>Table1[[#This Row],[Total Debt]]/Table1[[#This Row],[Income]]</f>
        <v>0.75555555555555554</v>
      </c>
    </row>
    <row r="24" spans="1:17">
      <c r="A24" s="2">
        <v>45962</v>
      </c>
      <c r="B24" s="6">
        <v>4500</v>
      </c>
      <c r="C24">
        <v>1500</v>
      </c>
      <c r="D24">
        <v>500</v>
      </c>
      <c r="E24">
        <v>950</v>
      </c>
      <c r="F24">
        <v>80</v>
      </c>
      <c r="P24">
        <f t="shared" si="0"/>
        <v>3030</v>
      </c>
      <c r="Q24" s="8">
        <f>Table1[[#This Row],[Total Debt]]/Table1[[#This Row],[Income]]</f>
        <v>0.67333333333333334</v>
      </c>
    </row>
    <row r="25" spans="1:17">
      <c r="A25" s="2">
        <v>45992</v>
      </c>
      <c r="B25" s="6">
        <v>4600</v>
      </c>
      <c r="C25">
        <v>1350</v>
      </c>
      <c r="D25">
        <v>400</v>
      </c>
      <c r="E25">
        <v>850</v>
      </c>
      <c r="F25">
        <v>60</v>
      </c>
      <c r="P25">
        <f t="shared" si="0"/>
        <v>2660</v>
      </c>
      <c r="Q25" s="8">
        <f>Table1[[#This Row],[Total Debt]]/Table1[[#This Row],[Income]]</f>
        <v>0.57826086956521738</v>
      </c>
    </row>
    <row r="26" spans="1:17">
      <c r="A26" s="2">
        <v>46023</v>
      </c>
      <c r="B26" s="6">
        <v>4600</v>
      </c>
      <c r="C26">
        <v>1250</v>
      </c>
      <c r="D26">
        <v>350</v>
      </c>
      <c r="E26">
        <v>800</v>
      </c>
      <c r="F26">
        <v>50</v>
      </c>
      <c r="P26">
        <f t="shared" ref="P26:P37" si="1">SUM(C26:O26)</f>
        <v>2450</v>
      </c>
      <c r="Q26" s="8">
        <f>Table1[[#This Row],[Total Debt]]/Table1[[#This Row],[Income]]</f>
        <v>0.53260869565217395</v>
      </c>
    </row>
    <row r="27" spans="1:17">
      <c r="A27" s="2">
        <v>46054</v>
      </c>
      <c r="B27" s="6">
        <v>4600</v>
      </c>
      <c r="C27">
        <v>1150</v>
      </c>
      <c r="D27">
        <v>300</v>
      </c>
      <c r="E27">
        <v>700</v>
      </c>
      <c r="F27">
        <v>40</v>
      </c>
      <c r="P27">
        <f t="shared" si="1"/>
        <v>2190</v>
      </c>
      <c r="Q27" s="8">
        <f>Table1[[#This Row],[Total Debt]]/Table1[[#This Row],[Income]]</f>
        <v>0.47608695652173916</v>
      </c>
    </row>
    <row r="28" spans="1:17">
      <c r="A28" s="2">
        <v>46082</v>
      </c>
      <c r="B28" s="6">
        <v>4700</v>
      </c>
      <c r="C28">
        <v>1000</v>
      </c>
      <c r="D28">
        <v>250</v>
      </c>
      <c r="E28">
        <v>600</v>
      </c>
      <c r="F28">
        <v>30</v>
      </c>
      <c r="P28">
        <f t="shared" si="1"/>
        <v>1880</v>
      </c>
      <c r="Q28" s="8">
        <f>Table1[[#This Row],[Total Debt]]/Table1[[#This Row],[Income]]</f>
        <v>0.4</v>
      </c>
    </row>
    <row r="29" spans="1:17">
      <c r="A29" s="2">
        <v>46113</v>
      </c>
      <c r="B29" s="6">
        <v>4700</v>
      </c>
      <c r="C29">
        <v>900</v>
      </c>
      <c r="D29">
        <v>200</v>
      </c>
      <c r="E29">
        <v>500</v>
      </c>
      <c r="F29">
        <v>20</v>
      </c>
      <c r="P29">
        <f t="shared" si="1"/>
        <v>1620</v>
      </c>
      <c r="Q29" s="8">
        <f>Table1[[#This Row],[Total Debt]]/Table1[[#This Row],[Income]]</f>
        <v>0.34468085106382979</v>
      </c>
    </row>
    <row r="30" spans="1:17">
      <c r="A30" s="2">
        <v>46143</v>
      </c>
      <c r="B30" s="6">
        <v>4700</v>
      </c>
      <c r="C30">
        <v>800</v>
      </c>
      <c r="D30">
        <v>150</v>
      </c>
      <c r="E30">
        <v>400</v>
      </c>
      <c r="F30">
        <v>10</v>
      </c>
      <c r="P30">
        <f t="shared" si="1"/>
        <v>1360</v>
      </c>
      <c r="Q30" s="8">
        <f>Table1[[#This Row],[Total Debt]]/Table1[[#This Row],[Income]]</f>
        <v>0.28936170212765955</v>
      </c>
    </row>
    <row r="31" spans="1:17">
      <c r="A31" s="2">
        <v>46174</v>
      </c>
      <c r="B31" s="6">
        <v>4800</v>
      </c>
      <c r="C31">
        <v>700</v>
      </c>
      <c r="D31">
        <v>120</v>
      </c>
      <c r="E31">
        <v>300</v>
      </c>
      <c r="F31">
        <v>0</v>
      </c>
      <c r="P31">
        <f t="shared" si="1"/>
        <v>1120</v>
      </c>
      <c r="Q31" s="8">
        <f>Table1[[#This Row],[Total Debt]]/Table1[[#This Row],[Income]]</f>
        <v>0.23333333333333334</v>
      </c>
    </row>
    <row r="32" spans="1:17">
      <c r="A32" s="2">
        <v>46204</v>
      </c>
      <c r="B32" s="6">
        <v>4800</v>
      </c>
      <c r="C32">
        <v>600</v>
      </c>
      <c r="D32">
        <v>100</v>
      </c>
      <c r="E32">
        <v>250</v>
      </c>
      <c r="F32">
        <v>0</v>
      </c>
      <c r="P32">
        <f t="shared" si="1"/>
        <v>950</v>
      </c>
      <c r="Q32" s="8">
        <f>Table1[[#This Row],[Total Debt]]/Table1[[#This Row],[Income]]</f>
        <v>0.19791666666666666</v>
      </c>
    </row>
    <row r="33" spans="1:17">
      <c r="A33" s="2">
        <v>46235</v>
      </c>
      <c r="B33" s="6">
        <v>4800</v>
      </c>
      <c r="C33">
        <v>500</v>
      </c>
      <c r="D33">
        <v>80</v>
      </c>
      <c r="E33">
        <v>200</v>
      </c>
      <c r="F33">
        <v>0</v>
      </c>
      <c r="P33">
        <f t="shared" si="1"/>
        <v>780</v>
      </c>
      <c r="Q33" s="8">
        <f>Table1[[#This Row],[Total Debt]]/Table1[[#This Row],[Income]]</f>
        <v>0.16250000000000001</v>
      </c>
    </row>
    <row r="34" spans="1:17">
      <c r="A34" s="2">
        <v>46266</v>
      </c>
      <c r="B34" s="6">
        <v>4900</v>
      </c>
      <c r="C34">
        <v>400</v>
      </c>
      <c r="D34">
        <v>60</v>
      </c>
      <c r="E34">
        <v>150</v>
      </c>
      <c r="F34">
        <v>0</v>
      </c>
      <c r="P34">
        <f t="shared" si="1"/>
        <v>610</v>
      </c>
      <c r="Q34" s="8">
        <f>Table1[[#This Row],[Total Debt]]/Table1[[#This Row],[Income]]</f>
        <v>0.12448979591836734</v>
      </c>
    </row>
    <row r="35" spans="1:17">
      <c r="A35" s="2">
        <v>46296</v>
      </c>
      <c r="B35" s="6">
        <v>4900</v>
      </c>
      <c r="C35">
        <v>300</v>
      </c>
      <c r="D35">
        <v>40</v>
      </c>
      <c r="E35">
        <v>100</v>
      </c>
      <c r="F35">
        <v>0</v>
      </c>
      <c r="P35">
        <f t="shared" si="1"/>
        <v>440</v>
      </c>
      <c r="Q35" s="8">
        <f>Table1[[#This Row],[Total Debt]]/Table1[[#This Row],[Income]]</f>
        <v>8.9795918367346933E-2</v>
      </c>
    </row>
    <row r="36" spans="1:17">
      <c r="A36" s="2">
        <v>46327</v>
      </c>
      <c r="B36" s="6">
        <v>4900</v>
      </c>
      <c r="C36">
        <v>200</v>
      </c>
      <c r="D36">
        <v>20</v>
      </c>
      <c r="E36">
        <v>50</v>
      </c>
      <c r="F36">
        <v>0</v>
      </c>
      <c r="P36">
        <f t="shared" si="1"/>
        <v>270</v>
      </c>
      <c r="Q36" s="8">
        <f>Table1[[#This Row],[Total Debt]]/Table1[[#This Row],[Income]]</f>
        <v>5.5102040816326532E-2</v>
      </c>
    </row>
    <row r="37" spans="1:17">
      <c r="A37" s="2">
        <v>46357</v>
      </c>
      <c r="B37" s="6">
        <v>5000</v>
      </c>
      <c r="C37">
        <v>100</v>
      </c>
      <c r="D37">
        <v>0</v>
      </c>
      <c r="E37">
        <v>0</v>
      </c>
      <c r="F37">
        <v>0</v>
      </c>
      <c r="P37">
        <f t="shared" si="1"/>
        <v>100</v>
      </c>
      <c r="Q37" s="8">
        <f>Table1[[#This Row],[Total Debt]]/Table1[[#This Row],[Income]]</f>
        <v>0.02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AD0B-A995-418C-AA7E-D0F59BC1F5D8}">
  <dimension ref="A1:AC7"/>
  <sheetViews>
    <sheetView tabSelected="1" workbookViewId="0">
      <selection activeCell="B8" sqref="B8"/>
    </sheetView>
  </sheetViews>
  <sheetFormatPr defaultRowHeight="15"/>
  <cols>
    <col min="1" max="1" width="19.7109375" bestFit="1" customWidth="1"/>
    <col min="2" max="2" width="36.5703125" bestFit="1" customWidth="1"/>
  </cols>
  <sheetData>
    <row r="1" spans="1:29" ht="31.5">
      <c r="A1" s="11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21">
      <c r="A2" s="3" t="s">
        <v>15</v>
      </c>
      <c r="B2" s="4">
        <f>SUM(Monthly_Balances!P:P)</f>
        <v>176960</v>
      </c>
    </row>
    <row r="3" spans="1:29" ht="21">
      <c r="A3" s="3" t="s">
        <v>18</v>
      </c>
      <c r="B3" s="4">
        <f>MAX(Monthly_Balances!P:P)</f>
        <v>10700</v>
      </c>
    </row>
    <row r="4" spans="1:29" ht="21">
      <c r="A4" s="3" t="s">
        <v>19</v>
      </c>
      <c r="B4" s="4">
        <f>MIN(Monthly_Balances!P:P)</f>
        <v>100</v>
      </c>
    </row>
    <row r="5" spans="1:29" ht="21">
      <c r="A5" s="3" t="s">
        <v>20</v>
      </c>
      <c r="B5" s="5">
        <f>AVERAGE(Monthly_Balances!P:P)</f>
        <v>4915.5555555555557</v>
      </c>
    </row>
    <row r="6" spans="1:29" ht="21">
      <c r="A6" s="3" t="s">
        <v>21</v>
      </c>
      <c r="B6" s="5" cm="1">
        <f t="array" ref="B6">LOOKUP(2,1/(Monthly_Balances!P:P&lt;&gt;""),Monthly_Balances!P:P)</f>
        <v>100</v>
      </c>
    </row>
    <row r="7" spans="1:29" ht="21">
      <c r="A7" s="3" t="s">
        <v>16</v>
      </c>
      <c r="B7" s="9" cm="1">
        <f t="array" ref="B7">LOOKUP(2,1/(Monthly_Balances!Q:Q&lt;&gt;""),Monthly_Balances!Q:Q)</f>
        <v>0.02</v>
      </c>
    </row>
  </sheetData>
  <mergeCells count="1">
    <mergeCell ref="A1:A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2026-02-10T14:36:23Z</dcterms:created>
  <dcterms:modified xsi:type="dcterms:W3CDTF">2026-02-10T19:51:37Z</dcterms:modified>
  <cp:category/>
  <cp:contentStatus/>
</cp:coreProperties>
</file>